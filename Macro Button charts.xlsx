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SHA EXCEL\"/>
    </mc:Choice>
  </mc:AlternateContent>
  <xr:revisionPtr revIDLastSave="0" documentId="8_{37C0F071-7F5F-4924-80DA-2E4584C222BF}" xr6:coauthVersionLast="36" xr6:coauthVersionMax="36" xr10:uidLastSave="{00000000-0000-0000-0000-000000000000}"/>
  <bookViews>
    <workbookView xWindow="0" yWindow="0" windowWidth="28800" windowHeight="12210" xr2:uid="{DC10076B-1F38-4643-AF42-2F959E5814B6}"/>
  </bookViews>
  <sheets>
    <sheet name="SCROLL BAR" sheetId="1" r:id="rId1"/>
    <sheet name="CHECKBOX" sheetId="2" r:id="rId2"/>
    <sheet name="option ba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3" l="1"/>
  <c r="C13" i="3"/>
  <c r="C15" i="3"/>
  <c r="C16" i="3"/>
  <c r="C17" i="3"/>
  <c r="C18" i="3"/>
  <c r="C19" i="3"/>
  <c r="C20" i="3"/>
  <c r="C21" i="3"/>
  <c r="B21" i="3"/>
  <c r="B20" i="3"/>
  <c r="B19" i="3"/>
  <c r="B18" i="3"/>
  <c r="B17" i="3"/>
  <c r="B16" i="3"/>
  <c r="B15" i="3"/>
  <c r="B14" i="3"/>
  <c r="B9" i="3"/>
  <c r="B8" i="3"/>
  <c r="B7" i="3"/>
  <c r="B6" i="3"/>
  <c r="B5" i="3"/>
  <c r="B4" i="3"/>
  <c r="B3" i="3"/>
  <c r="B2" i="3"/>
  <c r="E14" i="2" l="1"/>
  <c r="D14" i="2"/>
  <c r="C14" i="2"/>
  <c r="B14" i="2"/>
  <c r="C13" i="2"/>
  <c r="D13" i="2"/>
  <c r="E13" i="2"/>
  <c r="B13" i="2"/>
  <c r="C12" i="2"/>
  <c r="D12" i="2"/>
  <c r="E12" i="2"/>
  <c r="B12" i="2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H4" i="1"/>
  <c r="H5" i="1"/>
  <c r="H6" i="1"/>
  <c r="H3" i="1"/>
  <c r="A21" i="1" s="1"/>
</calcChain>
</file>

<file path=xl/sharedStrings.xml><?xml version="1.0" encoding="utf-8"?>
<sst xmlns="http://schemas.openxmlformats.org/spreadsheetml/2006/main" count="42" uniqueCount="24">
  <si>
    <t>ABC Technology Corporation Limited (in Millions)</t>
  </si>
  <si>
    <t>Revenue</t>
  </si>
  <si>
    <t>Operating Cost</t>
  </si>
  <si>
    <t>EBITDA</t>
  </si>
  <si>
    <t>Net Profit</t>
  </si>
  <si>
    <t>Scroll Link</t>
  </si>
  <si>
    <t>INDEX($A$3:$E$10,$A$17+ROWS($F$4:F4)-1,COLUMNS($F$4:F4))</t>
  </si>
  <si>
    <t>Q1</t>
  </si>
  <si>
    <t>Q2</t>
  </si>
  <si>
    <t>Q3</t>
  </si>
  <si>
    <t>Q4</t>
  </si>
  <si>
    <t>This is for combo box ref</t>
  </si>
  <si>
    <t>Total</t>
  </si>
  <si>
    <t>S.s</t>
  </si>
  <si>
    <t>Sci</t>
  </si>
  <si>
    <t>Eng</t>
  </si>
  <si>
    <t>OM</t>
  </si>
  <si>
    <t>Sakshi</t>
  </si>
  <si>
    <t>Mahesh</t>
  </si>
  <si>
    <t>kalpesh</t>
  </si>
  <si>
    <t>Poonam</t>
  </si>
  <si>
    <t>Raj</t>
  </si>
  <si>
    <t>Varun</t>
  </si>
  <si>
    <t>Ganesh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</si>
</sst>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Mangal"/>
      <family val="2"/>
      <scheme val="minor"/>
    </font>
    <font>
      <b/>
      <i/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4"/>
      <color theme="1"/>
      <name val="Mangal"/>
      <family val="2"/>
      <scheme val="minor"/>
    </font>
    <font>
      <sz val="14"/>
      <color theme="1"/>
      <name val="Calibri"/>
      <family val="2"/>
    </font>
    <font>
      <sz val="8"/>
      <color rgb="FF000000"/>
      <name val="Segoe UI"/>
      <family val="2"/>
    </font>
    <font>
      <b/>
      <i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2" applyBorder="1"/>
    <xf numFmtId="0" fontId="2" fillId="2" borderId="1" xfId="2" applyFill="1" applyBorder="1" applyAlignment="1">
      <alignment horizontal="centerContinuous"/>
    </xf>
    <xf numFmtId="0" fontId="2" fillId="0" borderId="1" xfId="2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2" fillId="0" borderId="0" xfId="2"/>
    <xf numFmtId="0" fontId="2" fillId="0" borderId="1" xfId="2" applyBorder="1"/>
    <xf numFmtId="0" fontId="2" fillId="2" borderId="1" xfId="2" applyFill="1" applyBorder="1" applyAlignment="1">
      <alignment horizontal="centerContinuous"/>
    </xf>
    <xf numFmtId="0" fontId="2" fillId="0" borderId="1" xfId="2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6" fillId="0" borderId="1" xfId="3" applyNumberFormat="1" applyFont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</cellXfs>
  <cellStyles count="4">
    <cellStyle name="Normal" xfId="0" builtinId="0"/>
    <cellStyle name="Normal 2" xfId="2" xr:uid="{00000000-0005-0000-0000-00002F000000}"/>
    <cellStyle name="Percent" xfId="1" builtinId="5"/>
    <cellStyle name="Percent 2" xfId="3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'SCROLL BAR'!$A$21</c:f>
          <c:strCache>
            <c:ptCount val="1"/>
            <c:pt idx="0">
              <c:v>ABC Technology Corporation Limited (in Millions) 2007-2010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'SCROLL BAR'!$I$2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'SCROLL BAR'!$H$3:$H$6</c:f>
              <c:numCache>
                <c:formatCode>General</c:formatCode>
                <c:ptCount val="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</c:numCache>
            </c:numRef>
          </c:cat>
          <c:val>
            <c:numRef>
              <c:f>'SCROLL BAR'!$I$3:$I$6</c:f>
              <c:numCache>
                <c:formatCode>General</c:formatCode>
                <c:ptCount val="4"/>
                <c:pt idx="0">
                  <c:v>110</c:v>
                </c:pt>
                <c:pt idx="1">
                  <c:v>121.00000000000001</c:v>
                </c:pt>
                <c:pt idx="2">
                  <c:v>133</c:v>
                </c:pt>
                <c:pt idx="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D-4C9C-BE06-B09807EDF3B9}"/>
            </c:ext>
          </c:extLst>
        </c:ser>
        <c:ser>
          <c:idx val="1"/>
          <c:order val="1"/>
          <c:tx>
            <c:strRef>
              <c:f>'SCROLL BAR'!$J$2</c:f>
              <c:strCache>
                <c:ptCount val="1"/>
                <c:pt idx="0">
                  <c:v>Operating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'SCROLL BAR'!$H$3:$H$6</c:f>
              <c:numCache>
                <c:formatCode>General</c:formatCode>
                <c:ptCount val="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</c:numCache>
            </c:numRef>
          </c:cat>
          <c:val>
            <c:numRef>
              <c:f>'SCROLL BAR'!$J$3:$J$6</c:f>
              <c:numCache>
                <c:formatCode>General</c:formatCode>
                <c:ptCount val="4"/>
                <c:pt idx="0">
                  <c:v>87</c:v>
                </c:pt>
                <c:pt idx="1">
                  <c:v>97</c:v>
                </c:pt>
                <c:pt idx="2">
                  <c:v>113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D-4C9C-BE06-B09807EDF3B9}"/>
            </c:ext>
          </c:extLst>
        </c:ser>
        <c:ser>
          <c:idx val="2"/>
          <c:order val="2"/>
          <c:tx>
            <c:strRef>
              <c:f>'SCROLL BAR'!$K$2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'SCROLL BAR'!$H$3:$H$6</c:f>
              <c:numCache>
                <c:formatCode>General</c:formatCode>
                <c:ptCount val="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</c:numCache>
            </c:numRef>
          </c:cat>
          <c:val>
            <c:numRef>
              <c:f>'SCROLL BAR'!$K$3:$K$6</c:f>
              <c:numCache>
                <c:formatCode>General</c:formatCode>
                <c:ptCount val="4"/>
                <c:pt idx="0">
                  <c:v>21</c:v>
                </c:pt>
                <c:pt idx="1">
                  <c:v>24.000000000000014</c:v>
                </c:pt>
                <c:pt idx="2">
                  <c:v>20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0D-4C9C-BE06-B09807EDF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4214400"/>
        <c:axId val="1309130960"/>
      </c:barChart>
      <c:lineChart>
        <c:grouping val="standard"/>
        <c:varyColors val="0"/>
        <c:ser>
          <c:idx val="3"/>
          <c:order val="3"/>
          <c:tx>
            <c:strRef>
              <c:f>'SCROLL BAR'!$L$2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'SCROLL BAR'!$H$3:$H$6</c:f>
              <c:numCache>
                <c:formatCode>General</c:formatCode>
                <c:ptCount val="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</c:numCache>
            </c:numRef>
          </c:cat>
          <c:val>
            <c:numRef>
              <c:f>'SCROLL BAR'!$L$3:$L$6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15</c:v>
                </c:pt>
                <c:pt idx="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0D-4C9C-BE06-B09807EDF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584480"/>
        <c:axId val="1308979952"/>
      </c:lineChart>
      <c:catAx>
        <c:axId val="145421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309130960"/>
        <c:crosses val="autoZero"/>
        <c:auto val="1"/>
        <c:lblAlgn val="ctr"/>
        <c:lblOffset val="100"/>
        <c:noMultiLvlLbl val="0"/>
      </c:catAx>
      <c:valAx>
        <c:axId val="13091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454214400"/>
        <c:crosses val="autoZero"/>
        <c:crossBetween val="between"/>
      </c:valAx>
      <c:valAx>
        <c:axId val="1308979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180584480"/>
        <c:crosses val="max"/>
        <c:crossBetween val="between"/>
      </c:valAx>
      <c:catAx>
        <c:axId val="1180584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8979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CHECKBOX!$A$14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CHECKBOX!$B$11:$E$11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CHECKBOX!$B$14:$E$14</c:f>
              <c:numCache>
                <c:formatCode>0.0%</c:formatCode>
                <c:ptCount val="4"/>
                <c:pt idx="0">
                  <c:v>6.5000000000000002E-2</c:v>
                </c:pt>
                <c:pt idx="1">
                  <c:v>4.9000000000000002E-2</c:v>
                </c:pt>
                <c:pt idx="2">
                  <c:v>1.7999999999999999E-2</c:v>
                </c:pt>
                <c:pt idx="3">
                  <c:v>0.11799999999999999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8-447E-A870-9DFE8781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6502016"/>
        <c:axId val="1578328560"/>
      </c:barChart>
      <c:lineChart>
        <c:grouping val="standard"/>
        <c:varyColors val="0"/>
        <c:ser>
          <c:idx val="0"/>
          <c:order val="0"/>
          <c:tx>
            <c:strRef>
              <c:f>CHECKBOX!$A$12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CHECKBOX!$B$11:$E$11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CHECKBOX!$B$12:$E$12</c:f>
              <c:numCache>
                <c:formatCode>0.0%</c:formatCode>
                <c:ptCount val="4"/>
                <c:pt idx="0">
                  <c:v>4.2000000000000003E-2</c:v>
                </c:pt>
                <c:pt idx="1">
                  <c:v>3.7999999999999999E-2</c:v>
                </c:pt>
                <c:pt idx="2">
                  <c:v>1.9E-2</c:v>
                </c:pt>
                <c:pt idx="3">
                  <c:v>0.10199999999999999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8-447E-A870-9DFE8781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02016"/>
        <c:axId val="1578328560"/>
      </c:lineChart>
      <c:lineChart>
        <c:grouping val="standard"/>
        <c:varyColors val="0"/>
        <c:ser>
          <c:idx val="1"/>
          <c:order val="1"/>
          <c:tx>
            <c:strRef>
              <c:f>CHECKBOX!$A$13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CHECKBOX!$B$11:$E$11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CHECKBOX!$B$13:$E$13</c:f>
              <c:numCache>
                <c:formatCode>0.0%</c:formatCode>
                <c:ptCount val="4"/>
                <c:pt idx="0">
                  <c:v>0.128</c:v>
                </c:pt>
                <c:pt idx="1">
                  <c:v>0.10199999999999999</c:v>
                </c:pt>
                <c:pt idx="2">
                  <c:v>0.113</c:v>
                </c:pt>
                <c:pt idx="3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8-447E-A870-9DFE8781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12416"/>
        <c:axId val="1578320240"/>
      </c:lineChart>
      <c:valAx>
        <c:axId val="1578328560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436502016"/>
        <c:crosses val="autoZero"/>
        <c:crossBetween val="between"/>
      </c:valAx>
      <c:catAx>
        <c:axId val="1436502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8328560"/>
        <c:crosses val="autoZero"/>
        <c:auto val="1"/>
        <c:lblAlgn val="ctr"/>
        <c:lblOffset val="100"/>
        <c:noMultiLvlLbl val="0"/>
      </c:catAx>
      <c:valAx>
        <c:axId val="15783202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436512416"/>
        <c:crosses val="max"/>
        <c:crossBetween val="between"/>
      </c:valAx>
      <c:catAx>
        <c:axId val="1436512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8320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007160417796939E-2"/>
          <c:y val="0.10893829984467124"/>
          <c:w val="0.86195340107626206"/>
          <c:h val="0.76636992096689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'option bar'!$B$13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'option bar'!$A$14:$A$21</c:f>
              <c:strCache>
                <c:ptCount val="8"/>
                <c:pt idx="0">
                  <c:v>OM</c:v>
                </c:pt>
                <c:pt idx="1">
                  <c:v>Sakshi</c:v>
                </c:pt>
                <c:pt idx="2">
                  <c:v>Mahesh</c:v>
                </c:pt>
                <c:pt idx="3">
                  <c:v>kalpesh</c:v>
                </c:pt>
                <c:pt idx="4">
                  <c:v>Poonam</c:v>
                </c:pt>
                <c:pt idx="5">
                  <c:v>Raj</c:v>
                </c:pt>
                <c:pt idx="6">
                  <c:v>Varun</c:v>
                </c:pt>
                <c:pt idx="7">
                  <c:v>Ganesh</c:v>
                </c:pt>
              </c:strCache>
            </c:strRef>
          </c:cat>
          <c:val>
            <c:numRef>
              <c:f>'option bar'!$B$14:$B$21</c:f>
              <c:numCache>
                <c:formatCode>General</c:formatCode>
                <c:ptCount val="8"/>
                <c:pt idx="0">
                  <c:v>120</c:v>
                </c:pt>
                <c:pt idx="1">
                  <c:v>132</c:v>
                </c:pt>
                <c:pt idx="2">
                  <c:v>119</c:v>
                </c:pt>
                <c:pt idx="3">
                  <c:v>120</c:v>
                </c:pt>
                <c:pt idx="4">
                  <c:v>153</c:v>
                </c:pt>
                <c:pt idx="5">
                  <c:v>97</c:v>
                </c:pt>
                <c:pt idx="6">
                  <c:v>158</c:v>
                </c:pt>
                <c:pt idx="7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7-4381-B13E-5881D739E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275184"/>
        <c:axId val="507265056"/>
      </c:barChart>
      <c:lineChart>
        <c:grouping val="standard"/>
        <c:varyColors val="0"/>
        <c:ser>
          <c:idx val="1"/>
          <c:order val="1"/>
          <c:tx>
            <c:strRef>
              <c:f>'option bar'!$C$13</c:f>
              <c:strCache>
                <c:ptCount val="1"/>
                <c:pt idx="0">
                  <c:v>S.s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'option bar'!$A$14:$A$21</c:f>
              <c:strCache>
                <c:ptCount val="8"/>
                <c:pt idx="0">
                  <c:v>OM</c:v>
                </c:pt>
                <c:pt idx="1">
                  <c:v>Sakshi</c:v>
                </c:pt>
                <c:pt idx="2">
                  <c:v>Mahesh</c:v>
                </c:pt>
                <c:pt idx="3">
                  <c:v>kalpesh</c:v>
                </c:pt>
                <c:pt idx="4">
                  <c:v>Poonam</c:v>
                </c:pt>
                <c:pt idx="5">
                  <c:v>Raj</c:v>
                </c:pt>
                <c:pt idx="6">
                  <c:v>Varun</c:v>
                </c:pt>
                <c:pt idx="7">
                  <c:v>Ganesh</c:v>
                </c:pt>
              </c:strCache>
            </c:strRef>
          </c:cat>
          <c:val>
            <c:numRef>
              <c:f>'option bar'!$C$14:$C$21</c:f>
              <c:numCache>
                <c:formatCode>General</c:formatCode>
                <c:ptCount val="8"/>
                <c:pt idx="0">
                  <c:v>87</c:v>
                </c:pt>
                <c:pt idx="1">
                  <c:v>97</c:v>
                </c:pt>
                <c:pt idx="2">
                  <c:v>84</c:v>
                </c:pt>
                <c:pt idx="3">
                  <c:v>75</c:v>
                </c:pt>
                <c:pt idx="4">
                  <c:v>94</c:v>
                </c:pt>
                <c:pt idx="5">
                  <c:v>43</c:v>
                </c:pt>
                <c:pt idx="6">
                  <c:v>91</c:v>
                </c:pt>
                <c:pt idx="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7-4381-B13E-5881D739E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268384"/>
        <c:axId val="507255904"/>
      </c:lineChart>
      <c:valAx>
        <c:axId val="507255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60268384"/>
        <c:crosses val="autoZero"/>
        <c:crossBetween val="between"/>
      </c:valAx>
      <c:catAx>
        <c:axId val="56026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7255904"/>
        <c:crosses val="autoZero"/>
        <c:auto val="1"/>
        <c:lblAlgn val="ctr"/>
        <c:lblOffset val="100"/>
        <c:noMultiLvlLbl val="0"/>
      </c:catAx>
      <c:valAx>
        <c:axId val="507265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60275184"/>
        <c:crosses val="max"/>
        <c:crossBetween val="between"/>
      </c:valAx>
      <c:catAx>
        <c:axId val="560275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7265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A$17" horiz="1" max="5" min="1" page="0"/>
</file>

<file path=xl/ctrlProps/ctrlProp2.xml><?xml version="1.0" encoding="utf-8"?>
<formControlPr xmlns="http://schemas.microsoft.com/office/spreadsheetml/2009/9/main" objectType="CheckBox" checked="Checked" fmlaLink="$B$7" lockText="1" noThreeD="1"/>
</file>

<file path=xl/ctrlProps/ctrlProp3.xml><?xml version="1.0" encoding="utf-8"?>
<formControlPr xmlns="http://schemas.microsoft.com/office/spreadsheetml/2009/9/main" objectType="Radio" checked="Checked" firstButton="1" fmlaLink="$B$1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7</xdr:row>
          <xdr:rowOff>47625</xdr:rowOff>
        </xdr:from>
        <xdr:to>
          <xdr:col>11</xdr:col>
          <xdr:colOff>1895475</xdr:colOff>
          <xdr:row>7</xdr:row>
          <xdr:rowOff>304800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28575</xdr:colOff>
      <xdr:row>8</xdr:row>
      <xdr:rowOff>319087</xdr:rowOff>
    </xdr:from>
    <xdr:to>
      <xdr:col>11</xdr:col>
      <xdr:colOff>1571625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14286</xdr:colOff>
      <xdr:row>7</xdr:row>
      <xdr:rowOff>300037</xdr:rowOff>
    </xdr:from>
    <xdr:to>
      <xdr:col>14</xdr:col>
      <xdr:colOff>600074</xdr:colOff>
      <xdr:row>23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6</xdr:row>
          <xdr:rowOff>133350</xdr:rowOff>
        </xdr:from>
        <xdr:to>
          <xdr:col>8</xdr:col>
          <xdr:colOff>0</xdr:colOff>
          <xdr:row>7</xdr:row>
          <xdr:rowOff>47625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hi-IN" sz="800" b="0" i="0" u="none" strike="noStrike" baseline="0">
                  <a:solidFill>
                    <a:srgbClr val="000000"/>
                  </a:solidFill>
                  <a:latin typeface="Segoe UI"/>
                </a:rPr>
                <a:t>Check Box 6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161924</xdr:colOff>
      <xdr:row>9</xdr:row>
      <xdr:rowOff>47626</xdr:rowOff>
    </xdr:from>
    <xdr:to>
      <xdr:col>14</xdr:col>
      <xdr:colOff>533399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</xdr:row>
          <xdr:rowOff>85725</xdr:rowOff>
        </xdr:from>
        <xdr:to>
          <xdr:col>7</xdr:col>
          <xdr:colOff>0</xdr:colOff>
          <xdr:row>8</xdr:row>
          <xdr:rowOff>0</xdr:rowOff>
        </xdr:to>
        <xdr:sp macro="" textlink="">
          <xdr:nvSpPr>
            <xdr:cNvPr id="3073" name="Option Button 1" descr="s.s&#10;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hi-IN" sz="800" b="0" i="0" u="none" strike="noStrike" baseline="0">
                  <a:solidFill>
                    <a:srgbClr val="000000"/>
                  </a:solidFill>
                  <a:latin typeface="Segoe UI"/>
                </a:rPr>
                <a:t>S.S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7</xdr:row>
          <xdr:rowOff>142875</xdr:rowOff>
        </xdr:from>
        <xdr:to>
          <xdr:col>9</xdr:col>
          <xdr:colOff>28575</xdr:colOff>
          <xdr:row>8</xdr:row>
          <xdr:rowOff>57150</xdr:rowOff>
        </xdr:to>
        <xdr:sp macro="" textlink="">
          <xdr:nvSpPr>
            <xdr:cNvPr id="3074" name="Option 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hi-IN" sz="800" b="0" i="0" u="none" strike="noStrike" baseline="0">
                  <a:solidFill>
                    <a:srgbClr val="000000"/>
                  </a:solidFill>
                  <a:latin typeface="Segoe UI"/>
                </a:rPr>
                <a:t>SCI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7</xdr:row>
          <xdr:rowOff>114300</xdr:rowOff>
        </xdr:from>
        <xdr:to>
          <xdr:col>10</xdr:col>
          <xdr:colOff>600075</xdr:colOff>
          <xdr:row>8</xdr:row>
          <xdr:rowOff>28575</xdr:rowOff>
        </xdr:to>
        <xdr:sp macro="" textlink="">
          <xdr:nvSpPr>
            <xdr:cNvPr id="3075" name="Option 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hi-IN" sz="800" b="0" i="0" u="none" strike="noStrike" baseline="0">
                  <a:solidFill>
                    <a:srgbClr val="000000"/>
                  </a:solidFill>
                  <a:latin typeface="Segoe UI"/>
                </a:rPr>
                <a:t>ENG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0243-A451-496C-A3BC-FD5FD3A14042}">
  <sheetPr codeName="Sheet2"/>
  <dimension ref="A1:L21"/>
  <sheetViews>
    <sheetView tabSelected="1" workbookViewId="0">
      <selection activeCell="A17" sqref="A17"/>
    </sheetView>
  </sheetViews>
  <sheetFormatPr defaultRowHeight="15" x14ac:dyDescent="0.25"/>
  <cols>
    <col min="2" max="2" width="18.140625" customWidth="1"/>
    <col min="3" max="3" width="22.42578125" customWidth="1"/>
    <col min="4" max="4" width="21.140625" customWidth="1"/>
    <col min="5" max="5" width="29.28515625" customWidth="1"/>
    <col min="9" max="9" width="14.42578125" customWidth="1"/>
    <col min="10" max="10" width="21.5703125" customWidth="1"/>
    <col min="11" max="11" width="15.85546875" customWidth="1"/>
    <col min="12" max="12" width="28.7109375" customWidth="1"/>
  </cols>
  <sheetData>
    <row r="1" spans="1:12" ht="25.5" x14ac:dyDescent="0.7">
      <c r="A1" s="1"/>
      <c r="B1" s="2" t="s">
        <v>0</v>
      </c>
      <c r="C1" s="2"/>
      <c r="D1" s="2"/>
      <c r="E1" s="2"/>
      <c r="H1" s="6"/>
      <c r="I1" s="7" t="s">
        <v>0</v>
      </c>
      <c r="J1" s="7"/>
      <c r="K1" s="7"/>
      <c r="L1" s="7"/>
    </row>
    <row r="2" spans="1:12" ht="25.5" x14ac:dyDescent="0.7">
      <c r="A2" s="3"/>
      <c r="B2" s="4" t="s">
        <v>1</v>
      </c>
      <c r="C2" s="4" t="s">
        <v>2</v>
      </c>
      <c r="D2" s="4" t="s">
        <v>3</v>
      </c>
      <c r="E2" s="4" t="s">
        <v>4</v>
      </c>
      <c r="H2" s="8"/>
      <c r="I2" s="9" t="s">
        <v>1</v>
      </c>
      <c r="J2" s="9" t="s">
        <v>2</v>
      </c>
      <c r="K2" s="9" t="s">
        <v>3</v>
      </c>
      <c r="L2" s="9" t="s">
        <v>4</v>
      </c>
    </row>
    <row r="3" spans="1:12" ht="25.5" x14ac:dyDescent="0.7">
      <c r="A3" s="4">
        <v>2007</v>
      </c>
      <c r="B3" s="3">
        <v>110</v>
      </c>
      <c r="C3" s="3">
        <v>87</v>
      </c>
      <c r="D3" s="3">
        <v>21</v>
      </c>
      <c r="E3" s="3">
        <v>12</v>
      </c>
      <c r="H3">
        <f>INDEX($A$3:$E$10,$A$17+ROWS($G$3:G3)-1,COLUMNS($G$3:G3))</f>
        <v>2007</v>
      </c>
      <c r="I3">
        <f>INDEX($A$3:$E$10,$A$17+ROWS($G$3:H3)-1,COLUMNS($G$3:H3))</f>
        <v>110</v>
      </c>
      <c r="J3">
        <f>INDEX($A$3:$E$10,$A$17+ROWS($G$3:I3)-1,COLUMNS($G$3:I3))</f>
        <v>87</v>
      </c>
      <c r="K3">
        <f>INDEX($A$3:$E$10,$A$17+ROWS($G$3:J3)-1,COLUMNS($G$3:J3))</f>
        <v>21</v>
      </c>
      <c r="L3">
        <f>INDEX($A$3:$E$10,$A$17+ROWS($G$3:K3)-1,COLUMNS($G$3:K3))</f>
        <v>12</v>
      </c>
    </row>
    <row r="4" spans="1:12" ht="25.5" x14ac:dyDescent="0.7">
      <c r="A4" s="4">
        <v>2008</v>
      </c>
      <c r="B4" s="3">
        <v>121.00000000000001</v>
      </c>
      <c r="C4" s="3">
        <v>97</v>
      </c>
      <c r="D4" s="3">
        <v>24.000000000000014</v>
      </c>
      <c r="E4" s="3">
        <v>11</v>
      </c>
      <c r="H4">
        <f>INDEX($A$3:$E$10,$A$17+ROWS($G$3:G4)-1,COLUMNS($G$3:G4))</f>
        <v>2008</v>
      </c>
      <c r="I4">
        <f>INDEX($A$3:$E$10,$A$17+ROWS($G$3:H4)-1,COLUMNS($G$3:H4))</f>
        <v>121.00000000000001</v>
      </c>
      <c r="J4">
        <f>INDEX($A$3:$E$10,$A$17+ROWS($G$3:I4)-1,COLUMNS($G$3:I4))</f>
        <v>97</v>
      </c>
      <c r="K4">
        <f>INDEX($A$3:$E$10,$A$17+ROWS($G$3:J4)-1,COLUMNS($G$3:J4))</f>
        <v>24.000000000000014</v>
      </c>
      <c r="L4">
        <f>INDEX($A$3:$E$10,$A$17+ROWS($G$3:K4)-1,COLUMNS($G$3:K4))</f>
        <v>11</v>
      </c>
    </row>
    <row r="5" spans="1:12" ht="25.5" x14ac:dyDescent="0.7">
      <c r="A5" s="4">
        <v>2009</v>
      </c>
      <c r="B5" s="3">
        <v>133</v>
      </c>
      <c r="C5" s="3">
        <v>113</v>
      </c>
      <c r="D5" s="3">
        <v>20</v>
      </c>
      <c r="E5" s="3">
        <v>15</v>
      </c>
      <c r="H5">
        <f>INDEX($A$3:$E$10,$A$17+ROWS($G$3:G5)-1,COLUMNS($G$3:G5))</f>
        <v>2009</v>
      </c>
      <c r="I5">
        <f>INDEX($A$3:$E$10,$A$17+ROWS($G$3:H5)-1,COLUMNS($G$3:H5))</f>
        <v>133</v>
      </c>
      <c r="J5">
        <f>INDEX($A$3:$E$10,$A$17+ROWS($G$3:I5)-1,COLUMNS($G$3:I5))</f>
        <v>113</v>
      </c>
      <c r="K5">
        <f>INDEX($A$3:$E$10,$A$17+ROWS($G$3:J5)-1,COLUMNS($G$3:J5))</f>
        <v>20</v>
      </c>
      <c r="L5">
        <f>INDEX($A$3:$E$10,$A$17+ROWS($G$3:K5)-1,COLUMNS($G$3:K5))</f>
        <v>15</v>
      </c>
    </row>
    <row r="6" spans="1:12" ht="25.5" x14ac:dyDescent="0.7">
      <c r="A6" s="4">
        <v>2010</v>
      </c>
      <c r="B6" s="3">
        <v>145</v>
      </c>
      <c r="C6" s="3">
        <v>117</v>
      </c>
      <c r="D6" s="3">
        <v>28</v>
      </c>
      <c r="E6" s="3">
        <v>17</v>
      </c>
      <c r="H6">
        <f>INDEX($A$3:$E$10,$A$17+ROWS($G$3:G6)-1,COLUMNS($G$3:G6))</f>
        <v>2010</v>
      </c>
      <c r="I6">
        <f>INDEX($A$3:$E$10,$A$17+ROWS($G$3:H6)-1,COLUMNS($G$3:H6))</f>
        <v>145</v>
      </c>
      <c r="J6">
        <f>INDEX($A$3:$E$10,$A$17+ROWS($G$3:I6)-1,COLUMNS($G$3:I6))</f>
        <v>117</v>
      </c>
      <c r="K6">
        <f>INDEX($A$3:$E$10,$A$17+ROWS($G$3:J6)-1,COLUMNS($G$3:J6))</f>
        <v>28</v>
      </c>
      <c r="L6">
        <f>INDEX($A$3:$E$10,$A$17+ROWS($G$3:K6)-1,COLUMNS($G$3:K6))</f>
        <v>17</v>
      </c>
    </row>
    <row r="7" spans="1:12" ht="25.5" x14ac:dyDescent="0.7">
      <c r="A7" s="4">
        <v>2011</v>
      </c>
      <c r="B7" s="3">
        <v>164</v>
      </c>
      <c r="C7" s="3">
        <v>124</v>
      </c>
      <c r="D7" s="3">
        <v>40</v>
      </c>
      <c r="E7" s="3">
        <v>19</v>
      </c>
    </row>
    <row r="8" spans="1:12" ht="25.5" x14ac:dyDescent="0.7">
      <c r="A8" s="4">
        <v>2012</v>
      </c>
      <c r="B8" s="3">
        <v>178</v>
      </c>
      <c r="C8" s="3">
        <v>148</v>
      </c>
      <c r="D8" s="3">
        <v>30</v>
      </c>
      <c r="E8" s="3">
        <v>24</v>
      </c>
    </row>
    <row r="9" spans="1:12" ht="25.5" x14ac:dyDescent="0.7">
      <c r="A9" s="4">
        <v>2013</v>
      </c>
      <c r="B9" s="3">
        <v>201</v>
      </c>
      <c r="C9" s="3">
        <v>156</v>
      </c>
      <c r="D9" s="3">
        <v>45</v>
      </c>
      <c r="E9" s="3">
        <v>22</v>
      </c>
    </row>
    <row r="10" spans="1:12" ht="25.5" x14ac:dyDescent="0.7">
      <c r="A10" s="4">
        <v>2014</v>
      </c>
      <c r="B10" s="3">
        <v>241</v>
      </c>
      <c r="C10" s="3">
        <v>178</v>
      </c>
      <c r="D10" s="3">
        <v>63</v>
      </c>
      <c r="E10" s="3">
        <v>27</v>
      </c>
    </row>
    <row r="16" spans="1:12" ht="25.5" x14ac:dyDescent="0.7">
      <c r="A16" s="5" t="s">
        <v>5</v>
      </c>
    </row>
    <row r="17" spans="1:1" ht="25.5" x14ac:dyDescent="0.7">
      <c r="A17" s="5">
        <v>1</v>
      </c>
    </row>
    <row r="19" spans="1:1" x14ac:dyDescent="0.25">
      <c r="A19" t="s">
        <v>6</v>
      </c>
    </row>
    <row r="21" spans="1:1" x14ac:dyDescent="0.25">
      <c r="A21" t="str">
        <f>B1&amp;" "&amp;H3&amp;"-"&amp;H6</f>
        <v>ABC Technology Corporation Limited (in Millions) 2007-2010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7</xdr:col>
                    <xdr:colOff>95250</xdr:colOff>
                    <xdr:row>7</xdr:row>
                    <xdr:rowOff>47625</xdr:rowOff>
                  </from>
                  <to>
                    <xdr:col>11</xdr:col>
                    <xdr:colOff>1895475</xdr:colOff>
                    <xdr:row>7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792F-426C-41B9-A84C-569106E45D25}">
  <sheetPr codeName="Sheet1"/>
  <dimension ref="A1:E14"/>
  <sheetViews>
    <sheetView workbookViewId="0">
      <selection activeCell="B12" sqref="B12:E14"/>
    </sheetView>
  </sheetViews>
  <sheetFormatPr defaultRowHeight="15" x14ac:dyDescent="0.25"/>
  <cols>
    <col min="1" max="1" width="7.5703125" bestFit="1" customWidth="1"/>
    <col min="2" max="2" width="11.5703125" customWidth="1"/>
    <col min="3" max="3" width="18.85546875" bestFit="1" customWidth="1"/>
    <col min="4" max="4" width="10.85546875" bestFit="1" customWidth="1"/>
    <col min="5" max="5" width="12.85546875" bestFit="1" customWidth="1"/>
    <col min="12" max="12" width="12.7109375" bestFit="1" customWidth="1"/>
  </cols>
  <sheetData>
    <row r="1" spans="1:5" ht="29.25" x14ac:dyDescent="0.75">
      <c r="A1" s="11"/>
      <c r="B1" s="11" t="s">
        <v>7</v>
      </c>
      <c r="C1" s="11" t="s">
        <v>8</v>
      </c>
      <c r="D1" s="11" t="s">
        <v>9</v>
      </c>
      <c r="E1" s="11" t="s">
        <v>10</v>
      </c>
    </row>
    <row r="2" spans="1:5" ht="29.25" x14ac:dyDescent="0.75">
      <c r="A2" s="11">
        <v>2011</v>
      </c>
      <c r="B2" s="12">
        <v>4.2000000000000003E-2</v>
      </c>
      <c r="C2" s="12">
        <v>3.7999999999999999E-2</v>
      </c>
      <c r="D2" s="12">
        <v>1.9E-2</v>
      </c>
      <c r="E2" s="12">
        <v>0.10199999999999999</v>
      </c>
    </row>
    <row r="3" spans="1:5" ht="29.25" x14ac:dyDescent="0.75">
      <c r="A3" s="11">
        <v>2012</v>
      </c>
      <c r="B3" s="12">
        <v>0.128</v>
      </c>
      <c r="C3" s="12">
        <v>0.10199999999999999</v>
      </c>
      <c r="D3" s="12">
        <v>0.113</v>
      </c>
      <c r="E3" s="12">
        <v>5.1999999999999998E-2</v>
      </c>
    </row>
    <row r="4" spans="1:5" ht="29.25" x14ac:dyDescent="0.75">
      <c r="A4" s="11">
        <v>2013</v>
      </c>
      <c r="B4" s="12">
        <v>6.5000000000000002E-2</v>
      </c>
      <c r="C4" s="12">
        <v>4.9000000000000002E-2</v>
      </c>
      <c r="D4" s="12">
        <v>1.7999999999999999E-2</v>
      </c>
      <c r="E4" s="12">
        <v>0.11799999999999999</v>
      </c>
    </row>
    <row r="6" spans="1:5" ht="24" x14ac:dyDescent="0.65">
      <c r="A6" s="13" t="s">
        <v>11</v>
      </c>
    </row>
    <row r="7" spans="1:5" ht="24" x14ac:dyDescent="0.65">
      <c r="A7" s="10">
        <v>2011</v>
      </c>
      <c r="B7" s="14" t="b">
        <v>1</v>
      </c>
    </row>
    <row r="8" spans="1:5" ht="24" x14ac:dyDescent="0.65">
      <c r="A8" s="10">
        <v>2012</v>
      </c>
      <c r="B8" s="14" t="b">
        <v>1</v>
      </c>
    </row>
    <row r="11" spans="1:5" ht="24" x14ac:dyDescent="0.65">
      <c r="A11" s="10"/>
      <c r="B11" s="10" t="s">
        <v>7</v>
      </c>
      <c r="C11" s="10" t="s">
        <v>8</v>
      </c>
      <c r="D11" s="10" t="s">
        <v>9</v>
      </c>
      <c r="E11" s="10" t="s">
        <v>10</v>
      </c>
    </row>
    <row r="12" spans="1:5" ht="24" x14ac:dyDescent="0.65">
      <c r="A12" s="10">
        <v>2011</v>
      </c>
      <c r="B12" s="18">
        <f>IF($B$7,B2,NA())</f>
        <v>4.2000000000000003E-2</v>
      </c>
      <c r="C12" s="18">
        <f t="shared" ref="C12:E12" si="0">IF($B$7,C2,NA())</f>
        <v>3.7999999999999999E-2</v>
      </c>
      <c r="D12" s="18">
        <f t="shared" si="0"/>
        <v>1.9E-2</v>
      </c>
      <c r="E12" s="18">
        <f t="shared" si="0"/>
        <v>0.10199999999999999</v>
      </c>
    </row>
    <row r="13" spans="1:5" ht="24" x14ac:dyDescent="0.65">
      <c r="A13" s="10">
        <v>2012</v>
      </c>
      <c r="B13" s="18">
        <f>IF($B$7,B3,NA())</f>
        <v>0.128</v>
      </c>
      <c r="C13" s="18">
        <f t="shared" ref="C13:E13" si="1">IF($B$7,C3,NA())</f>
        <v>0.10199999999999999</v>
      </c>
      <c r="D13" s="18">
        <f t="shared" si="1"/>
        <v>0.113</v>
      </c>
      <c r="E13" s="18">
        <f t="shared" si="1"/>
        <v>5.1999999999999998E-2</v>
      </c>
    </row>
    <row r="14" spans="1:5" ht="24" x14ac:dyDescent="0.65">
      <c r="A14" s="10">
        <v>2013</v>
      </c>
      <c r="B14" s="19">
        <f>B4</f>
        <v>6.5000000000000002E-2</v>
      </c>
      <c r="C14" s="19">
        <f>C4</f>
        <v>4.9000000000000002E-2</v>
      </c>
      <c r="D14" s="19">
        <f>D4</f>
        <v>1.7999999999999999E-2</v>
      </c>
      <c r="E14" s="19">
        <f>E4</f>
        <v>0.11799999999999999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>
                  <from>
                    <xdr:col>7</xdr:col>
                    <xdr:colOff>266700</xdr:colOff>
                    <xdr:row>6</xdr:row>
                    <xdr:rowOff>133350</xdr:rowOff>
                  </from>
                  <to>
                    <xdr:col>8</xdr:col>
                    <xdr:colOff>0</xdr:colOff>
                    <xdr:row>7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E140-151F-49D0-87F6-D9B73411D9B6}">
  <dimension ref="A1:E21"/>
  <sheetViews>
    <sheetView workbookViewId="0">
      <selection activeCell="R10" sqref="R10"/>
    </sheetView>
  </sheetViews>
  <sheetFormatPr defaultRowHeight="15" x14ac:dyDescent="0.25"/>
  <cols>
    <col min="3" max="3" width="11.85546875" bestFit="1" customWidth="1"/>
  </cols>
  <sheetData>
    <row r="1" spans="1:5" ht="24" x14ac:dyDescent="0.65">
      <c r="A1" s="15"/>
      <c r="B1" s="16" t="s">
        <v>12</v>
      </c>
      <c r="C1" s="16" t="s">
        <v>13</v>
      </c>
      <c r="D1" s="16" t="s">
        <v>14</v>
      </c>
      <c r="E1" s="16" t="s">
        <v>15</v>
      </c>
    </row>
    <row r="2" spans="1:5" ht="24" x14ac:dyDescent="0.65">
      <c r="A2" s="16" t="s">
        <v>16</v>
      </c>
      <c r="B2" s="15">
        <f>SUM(C2:E2)</f>
        <v>120</v>
      </c>
      <c r="C2" s="15">
        <v>87</v>
      </c>
      <c r="D2" s="15">
        <v>21</v>
      </c>
      <c r="E2" s="15">
        <v>12</v>
      </c>
    </row>
    <row r="3" spans="1:5" ht="24" x14ac:dyDescent="0.65">
      <c r="A3" s="16" t="s">
        <v>17</v>
      </c>
      <c r="B3" s="15">
        <f t="shared" ref="B3:B9" si="0">SUM(C3:E3)</f>
        <v>132</v>
      </c>
      <c r="C3" s="15">
        <v>97</v>
      </c>
      <c r="D3" s="15">
        <v>24.000000000000014</v>
      </c>
      <c r="E3" s="15">
        <v>11</v>
      </c>
    </row>
    <row r="4" spans="1:5" ht="24" x14ac:dyDescent="0.65">
      <c r="A4" s="16" t="s">
        <v>18</v>
      </c>
      <c r="B4" s="15">
        <f t="shared" si="0"/>
        <v>119</v>
      </c>
      <c r="C4" s="15">
        <v>84</v>
      </c>
      <c r="D4" s="15">
        <v>20</v>
      </c>
      <c r="E4" s="15">
        <v>15</v>
      </c>
    </row>
    <row r="5" spans="1:5" ht="24" x14ac:dyDescent="0.65">
      <c r="A5" s="16" t="s">
        <v>19</v>
      </c>
      <c r="B5" s="15">
        <f t="shared" si="0"/>
        <v>120</v>
      </c>
      <c r="C5" s="15">
        <v>75</v>
      </c>
      <c r="D5" s="15">
        <v>28</v>
      </c>
      <c r="E5" s="15">
        <v>17</v>
      </c>
    </row>
    <row r="6" spans="1:5" ht="24" x14ac:dyDescent="0.65">
      <c r="A6" s="16" t="s">
        <v>20</v>
      </c>
      <c r="B6" s="15">
        <f t="shared" si="0"/>
        <v>153</v>
      </c>
      <c r="C6" s="15">
        <v>94</v>
      </c>
      <c r="D6" s="15">
        <v>40</v>
      </c>
      <c r="E6" s="15">
        <v>19</v>
      </c>
    </row>
    <row r="7" spans="1:5" ht="24" x14ac:dyDescent="0.65">
      <c r="A7" s="16" t="s">
        <v>21</v>
      </c>
      <c r="B7" s="15">
        <f t="shared" si="0"/>
        <v>97</v>
      </c>
      <c r="C7" s="15">
        <v>43</v>
      </c>
      <c r="D7" s="15">
        <v>30</v>
      </c>
      <c r="E7" s="15">
        <v>24</v>
      </c>
    </row>
    <row r="8" spans="1:5" ht="24" x14ac:dyDescent="0.65">
      <c r="A8" s="16" t="s">
        <v>22</v>
      </c>
      <c r="B8" s="15">
        <f t="shared" si="0"/>
        <v>158</v>
      </c>
      <c r="C8" s="15">
        <v>91</v>
      </c>
      <c r="D8" s="15">
        <v>45</v>
      </c>
      <c r="E8" s="15">
        <v>22</v>
      </c>
    </row>
    <row r="9" spans="1:5" ht="24" x14ac:dyDescent="0.65">
      <c r="A9" s="16" t="s">
        <v>23</v>
      </c>
      <c r="B9" s="15">
        <f t="shared" si="0"/>
        <v>162</v>
      </c>
      <c r="C9" s="15">
        <v>72</v>
      </c>
      <c r="D9" s="15">
        <v>63</v>
      </c>
      <c r="E9" s="15">
        <v>27</v>
      </c>
    </row>
    <row r="11" spans="1:5" x14ac:dyDescent="0.25">
      <c r="B11">
        <v>1</v>
      </c>
    </row>
    <row r="13" spans="1:5" ht="24" x14ac:dyDescent="0.65">
      <c r="A13" s="15"/>
      <c r="B13" s="16" t="s">
        <v>12</v>
      </c>
      <c r="C13" s="17" t="str">
        <f>INDEX($C$1:$E$1,B11)</f>
        <v>S.s</v>
      </c>
    </row>
    <row r="14" spans="1:5" ht="24" x14ac:dyDescent="0.65">
      <c r="A14" s="16" t="s">
        <v>16</v>
      </c>
      <c r="B14" s="15">
        <f>B2</f>
        <v>120</v>
      </c>
      <c r="C14" s="14">
        <f>INDEX($C$2:$E$9,ROWS($B$14:B14),$B$11)</f>
        <v>87</v>
      </c>
    </row>
    <row r="15" spans="1:5" ht="24" x14ac:dyDescent="0.65">
      <c r="A15" s="16" t="s">
        <v>17</v>
      </c>
      <c r="B15" s="15">
        <f t="shared" ref="B15:B21" si="1">B3</f>
        <v>132</v>
      </c>
      <c r="C15" s="14">
        <f>INDEX($C$2:$E$9,ROWS($B$14:B15),$B$11)</f>
        <v>97</v>
      </c>
    </row>
    <row r="16" spans="1:5" ht="24" x14ac:dyDescent="0.65">
      <c r="A16" s="16" t="s">
        <v>18</v>
      </c>
      <c r="B16" s="15">
        <f t="shared" si="1"/>
        <v>119</v>
      </c>
      <c r="C16" s="14">
        <f>INDEX($C$2:$E$9,ROWS($B$14:B16),$B$11)</f>
        <v>84</v>
      </c>
    </row>
    <row r="17" spans="1:3" ht="24" x14ac:dyDescent="0.65">
      <c r="A17" s="16" t="s">
        <v>19</v>
      </c>
      <c r="B17" s="15">
        <f t="shared" si="1"/>
        <v>120</v>
      </c>
      <c r="C17" s="14">
        <f>INDEX($C$2:$E$9,ROWS($B$14:B17),$B$11)</f>
        <v>75</v>
      </c>
    </row>
    <row r="18" spans="1:3" ht="24" x14ac:dyDescent="0.65">
      <c r="A18" s="16" t="s">
        <v>20</v>
      </c>
      <c r="B18" s="15">
        <f t="shared" si="1"/>
        <v>153</v>
      </c>
      <c r="C18" s="14">
        <f>INDEX($C$2:$E$9,ROWS($B$14:B18),$B$11)</f>
        <v>94</v>
      </c>
    </row>
    <row r="19" spans="1:3" ht="24" x14ac:dyDescent="0.65">
      <c r="A19" s="16" t="s">
        <v>21</v>
      </c>
      <c r="B19" s="15">
        <f t="shared" si="1"/>
        <v>97</v>
      </c>
      <c r="C19" s="14">
        <f>INDEX($C$2:$E$9,ROWS($B$14:B19),$B$11)</f>
        <v>43</v>
      </c>
    </row>
    <row r="20" spans="1:3" ht="24" x14ac:dyDescent="0.65">
      <c r="A20" s="16" t="s">
        <v>22</v>
      </c>
      <c r="B20" s="15">
        <f t="shared" si="1"/>
        <v>158</v>
      </c>
      <c r="C20" s="14">
        <f>INDEX($C$2:$E$9,ROWS($B$14:B20),$B$11)</f>
        <v>91</v>
      </c>
    </row>
    <row r="21" spans="1:3" ht="24" x14ac:dyDescent="0.65">
      <c r="A21" s="16" t="s">
        <v>23</v>
      </c>
      <c r="B21" s="15">
        <f t="shared" si="1"/>
        <v>162</v>
      </c>
      <c r="C21" s="14">
        <f>INDEX($C$2:$E$9,ROWS($B$14:B21),$B$11)</f>
        <v>72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Option Button 1">
              <controlPr defaultSize="0" autoFill="0" autoLine="0" autoPict="0" altText="s.s_x000a_">
                <anchor moveWithCells="1">
                  <from>
                    <xdr:col>6</xdr:col>
                    <xdr:colOff>76200</xdr:colOff>
                    <xdr:row>7</xdr:row>
                    <xdr:rowOff>85725</xdr:rowOff>
                  </from>
                  <to>
                    <xdr:col>7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Option Button 2">
              <controlPr defaultSize="0" autoFill="0" autoLine="0" autoPict="0">
                <anchor moveWithCells="1">
                  <from>
                    <xdr:col>8</xdr:col>
                    <xdr:colOff>76200</xdr:colOff>
                    <xdr:row>7</xdr:row>
                    <xdr:rowOff>142875</xdr:rowOff>
                  </from>
                  <to>
                    <xdr:col>9</xdr:col>
                    <xdr:colOff>28575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Option Button 3">
              <controlPr defaultSize="0" autoFill="0" autoLine="0" autoPict="0">
                <anchor moveWithCells="1">
                  <from>
                    <xdr:col>10</xdr:col>
                    <xdr:colOff>9525</xdr:colOff>
                    <xdr:row>7</xdr:row>
                    <xdr:rowOff>114300</xdr:rowOff>
                  </from>
                  <to>
                    <xdr:col>10</xdr:col>
                    <xdr:colOff>600075</xdr:colOff>
                    <xdr:row>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SCROLL BAR</vt:lpstr>
      <vt:lpstr>CHECKBOX</vt:lpstr>
      <vt:lpstr>option bar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2026-01-20T05:34:33Z</dcterms:created>
  <dcterms:modified xsi:type="dcterms:W3CDTF">2026-03-10T05:44:47Z</dcterms:modified>
</cp:coreProperties>
</file>