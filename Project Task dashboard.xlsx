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HA EXCEL\"/>
    </mc:Choice>
  </mc:AlternateContent>
  <xr:revisionPtr revIDLastSave="0" documentId="8_{0EA6A723-85A8-492F-9337-29A46378C771}" xr6:coauthVersionLast="36" xr6:coauthVersionMax="36" xr10:uidLastSave="{00000000-0000-0000-0000-000000000000}"/>
  <bookViews>
    <workbookView xWindow="0" yWindow="0" windowWidth="28800" windowHeight="12210" xr2:uid="{FF39C5AE-1D63-427F-9BB3-BD4550553968}"/>
  </bookViews>
  <sheets>
    <sheet name="Dashboard 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9" i="1" l="1"/>
  <c r="B29" i="1"/>
  <c r="C29" i="1"/>
  <c r="D29" i="1"/>
</calcChain>
</file>

<file path=xl/sharedStrings.xml><?xml version="1.0" encoding="utf-8"?>
<sst xmlns="http://schemas.openxmlformats.org/spreadsheetml/2006/main" count="43" uniqueCount="43">
  <si>
    <t>QUARTER 4</t>
  </si>
  <si>
    <t>QUARTER 3</t>
  </si>
  <si>
    <t>QUARTER 2</t>
  </si>
  <si>
    <t>QUARTER 1</t>
  </si>
  <si>
    <t>QUARTERLY REVENUE TOTALS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</si>
  <si>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</si>
  <si>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</si>
  <si>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</si>
  <si>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</si>
  <si>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</si>
  <si>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</si>
  <si>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</si>
  <si>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</si>
  <si>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</si>
  <si>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</si>
  <si>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</si>
  <si>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</si>
  <si>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MONTHLY REVENUE TOTALS</t>
  </si>
  <si>
    <t>PENDING ACTIONS</t>
  </si>
  <si>
    <t>REVISIONS</t>
  </si>
  <si>
    <t>UNRESOLVED</t>
  </si>
  <si>
    <t>ISSUES</t>
  </si>
  <si>
    <t>LOW</t>
  </si>
  <si>
    <t>MEDIUM</t>
  </si>
  <si>
    <t>HIGH</t>
  </si>
  <si>
    <t>RISKS</t>
  </si>
  <si>
    <t>REMAINDER</t>
  </si>
  <si>
    <t>ACTUAL</t>
  </si>
  <si>
    <t>PROJECTED</t>
  </si>
  <si>
    <t>COMPLETE</t>
  </si>
  <si>
    <t>IN PROGRESS</t>
  </si>
  <si>
    <t>NOT STARTED</t>
  </si>
  <si>
    <t>BUDGET</t>
  </si>
  <si>
    <t>PROJECTS / TASKS</t>
  </si>
  <si>
    <t>DASHBOARD DATA</t>
  </si>
  <si>
    <t>remaining</t>
  </si>
  <si>
    <t xml:space="preserve">BUDGET </t>
  </si>
  <si>
    <t>complete</t>
  </si>
  <si>
    <t>PROGRESS</t>
  </si>
  <si>
    <t>ahead</t>
  </si>
  <si>
    <t>SCHEDULE</t>
  </si>
  <si>
    <t>OVERALL STATUS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</si>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</sst>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6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entury Gothic"/>
      <family val="2"/>
    </font>
    <font>
      <sz val="12"/>
      <color rgb="FF000000"/>
      <name val="Century Gothic"/>
      <family val="1"/>
    </font>
    <font>
      <sz val="14"/>
      <color rgb="FF595959"/>
      <name val="Century Gothic"/>
      <family val="1"/>
    </font>
    <font>
      <b/>
      <sz val="14"/>
      <color rgb="FF595959"/>
      <name val="Century Gothic"/>
      <family val="2"/>
    </font>
    <font>
      <b/>
      <sz val="10"/>
      <color rgb="FF000000"/>
      <name val="Century Gothic"/>
      <family val="2"/>
    </font>
    <font>
      <b/>
      <sz val="12"/>
      <color rgb="FF000000"/>
      <name val="Century Gothic"/>
      <family val="1"/>
    </font>
    <font>
      <b/>
      <sz val="10"/>
      <color rgb="FF000000"/>
      <name val="Century Gothic"/>
      <family val="1"/>
    </font>
    <font>
      <b/>
      <sz val="14"/>
      <color rgb="FF595959"/>
      <name val="Century Gothic"/>
      <family val="1"/>
    </font>
    <font>
      <sz val="22"/>
      <color rgb="FF000000"/>
      <name val="Century Gothic"/>
      <family val="1"/>
    </font>
    <font>
      <sz val="18"/>
      <color rgb="FF000000"/>
      <name val="Century Gothic"/>
      <family val="1"/>
    </font>
    <font>
      <sz val="30"/>
      <color rgb="FF000000"/>
      <name val="Century Gothic"/>
      <family val="1"/>
    </font>
    <font>
      <sz val="20"/>
      <color rgb="FF000000"/>
      <name val="Century Gothic"/>
      <family val="1"/>
    </font>
    <font>
      <b/>
      <u/>
      <sz val="36"/>
      <color rgb="FF0099CC"/>
      <name val="Bradley Hand ITC"/>
      <family val="4"/>
    </font>
  </fonts>
  <fills count="17">
    <fill>
      <patternFill patternType="none"/>
    </fill>
    <fill>
      <patternFill patternType="gray125"/>
    </fill>
    <fill>
      <patternFill patternType="solid">
        <fgColor rgb="FFFCE4D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60CDDD"/>
        <bgColor rgb="FF000000"/>
      </patternFill>
    </fill>
    <fill>
      <patternFill patternType="solid">
        <fgColor rgb="FFC5EBEE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ADCECC"/>
        <bgColor rgb="FF000000"/>
      </patternFill>
    </fill>
    <fill>
      <patternFill patternType="solid">
        <fgColor rgb="FF60CD8E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DBF0AF"/>
        <bgColor rgb="FF000000"/>
      </patternFill>
    </fill>
    <fill>
      <patternFill patternType="solid">
        <fgColor rgb="FFB5E3E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/>
      <bottom style="medium">
        <color rgb="FFBFBFBF"/>
      </bottom>
      <diagonal/>
    </border>
    <border>
      <left/>
      <right/>
      <top style="mediumDashed">
        <color rgb="FFBFBFBF"/>
      </top>
      <bottom/>
      <diagonal/>
    </border>
    <border>
      <left style="thick">
        <color rgb="FFFFC000"/>
      </left>
      <right/>
      <top/>
      <bottom/>
      <diagonal/>
    </border>
    <border>
      <left/>
      <right/>
      <top style="hair">
        <color rgb="FFFFD966"/>
      </top>
      <bottom style="hair">
        <color rgb="FFFFD966"/>
      </bottom>
      <diagonal/>
    </border>
    <border>
      <left style="thick">
        <color rgb="FFFFC000"/>
      </left>
      <right/>
      <top style="hair">
        <color rgb="FFFFD966"/>
      </top>
      <bottom style="hair">
        <color rgb="FFFFD966"/>
      </bottom>
      <diagonal/>
    </border>
    <border>
      <left/>
      <right/>
      <top/>
      <bottom style="hair">
        <color rgb="FFFFD966"/>
      </bottom>
      <diagonal/>
    </border>
    <border>
      <left style="thick">
        <color rgb="FFFFC000"/>
      </left>
      <right/>
      <top/>
      <bottom style="hair">
        <color rgb="FFFFD966"/>
      </bottom>
      <diagonal/>
    </border>
  </borders>
  <cellStyleXfs count="1">
    <xf numFmtId="0" fontId="0" fillId="0" borderId="0"/>
  </cellStyleXfs>
  <cellXfs count="48">
    <xf numFmtId="0" fontId="0" fillId="0" borderId="0" xfId="0"/>
    <xf numFmtId="164" fontId="2" fillId="0" borderId="1" xfId="0" applyNumberFormat="1" applyFont="1" applyBorder="1" applyAlignment="1">
      <alignment horizontal="left" vertical="center" indent="1"/>
    </xf>
    <xf numFmtId="164" fontId="3" fillId="2" borderId="2" xfId="0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164" fontId="3" fillId="5" borderId="2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3" xfId="0" applyFont="1" applyBorder="1" applyAlignment="1">
      <alignment vertical="center"/>
    </xf>
    <xf numFmtId="4" fontId="4" fillId="0" borderId="4" xfId="0" applyNumberFormat="1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5" fillId="0" borderId="6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9" fillId="9" borderId="5" xfId="0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9" fillId="11" borderId="5" xfId="0" applyFont="1" applyFill="1" applyBorder="1" applyAlignment="1">
      <alignment horizontal="center" vertical="center" wrapText="1"/>
    </xf>
    <xf numFmtId="0" fontId="1" fillId="0" borderId="0" xfId="0" applyFont="1"/>
    <xf numFmtId="3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12" borderId="4" xfId="0" applyFont="1" applyFill="1" applyBorder="1" applyAlignment="1">
      <alignment horizontal="center" vertical="center" wrapText="1"/>
    </xf>
    <xf numFmtId="0" fontId="9" fillId="13" borderId="4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14" borderId="4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15" borderId="4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vertical="center"/>
    </xf>
    <xf numFmtId="0" fontId="4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2" fillId="0" borderId="0" xfId="0" applyFont="1" applyAlignment="1">
      <alignment horizontal="left" vertical="center" indent="1"/>
    </xf>
    <xf numFmtId="9" fontId="13" fillId="0" borderId="0" xfId="0" applyNumberFormat="1" applyFont="1" applyAlignment="1">
      <alignment horizontal="center" vertical="center"/>
    </xf>
    <xf numFmtId="0" fontId="12" fillId="0" borderId="8" xfId="0" applyFont="1" applyBorder="1" applyAlignment="1">
      <alignment horizontal="left" vertical="center" indent="1"/>
    </xf>
    <xf numFmtId="0" fontId="12" fillId="0" borderId="9" xfId="0" applyFont="1" applyBorder="1" applyAlignment="1">
      <alignment horizontal="left" vertical="center" indent="1"/>
    </xf>
    <xf numFmtId="9" fontId="13" fillId="0" borderId="9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 indent="1"/>
    </xf>
    <xf numFmtId="0" fontId="12" fillId="0" borderId="11" xfId="0" applyFont="1" applyBorder="1" applyAlignment="1">
      <alignment horizontal="left" vertical="center" indent="1"/>
    </xf>
    <xf numFmtId="9" fontId="13" fillId="0" borderId="11" xfId="0" applyNumberFormat="1" applyFont="1" applyBorder="1" applyAlignment="1">
      <alignment horizontal="center" vertical="center"/>
    </xf>
    <xf numFmtId="0" fontId="12" fillId="0" borderId="12" xfId="0" applyFont="1" applyBorder="1" applyAlignment="1">
      <alignment horizontal="left" vertical="center" indent="1"/>
    </xf>
    <xf numFmtId="0" fontId="14" fillId="0" borderId="8" xfId="0" applyFont="1" applyBorder="1" applyAlignment="1">
      <alignment horizontal="left" vertical="center" wrapText="1" indent="1"/>
    </xf>
    <xf numFmtId="0" fontId="14" fillId="0" borderId="0" xfId="0" applyFont="1" applyAlignment="1">
      <alignment vertical="top"/>
    </xf>
    <xf numFmtId="0" fontId="15" fillId="1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MC" sz="1600" b="1"/>
              <a:t>BUDGET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'Dashboard 6'!$F$15:$H$16</c:f>
              <c:multiLvlStrCache>
                <c:ptCount val="3"/>
                <c:lvl>
                  <c:pt idx="0">
                    <c:v>PROJECTED</c:v>
                  </c:pt>
                  <c:pt idx="1">
                    <c:v>ACTUAL</c:v>
                  </c:pt>
                  <c:pt idx="2">
                    <c:v>REMAINDER</c:v>
                  </c:pt>
                </c:lvl>
                <c:lvl>
                  <c:pt idx="0">
                    <c:v>BUDGET</c:v>
                  </c:pt>
                </c:lvl>
              </c:multiLvlStrCache>
            </c:multiLvlStrRef>
          </c:cat>
          <c:val>
            <c:numRef>
              <c:f>'Dashboard 6'!$F$17:$H$17</c:f>
              <c:numCache>
                <c:formatCode>#,##0</c:formatCode>
                <c:ptCount val="3"/>
                <c:pt idx="0">
                  <c:v>250000</c:v>
                </c:pt>
                <c:pt idx="1">
                  <c:v>185000</c:v>
                </c:pt>
                <c:pt idx="2">
                  <c:v>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32-4763-AD41-756F05B89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3790639"/>
        <c:axId val="732800127"/>
      </c:barChart>
      <c:catAx>
        <c:axId val="783790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732800127"/>
        <c:crosses val="autoZero"/>
        <c:auto val="1"/>
        <c:lblAlgn val="ctr"/>
        <c:lblOffset val="100"/>
        <c:noMultiLvlLbl val="0"/>
      </c:catAx>
      <c:valAx>
        <c:axId val="73280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783790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i-I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MC" sz="1400" b="1"/>
              <a:t>RISKS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multiLvlStrRef>
              <c:f>'Dashboard 6'!$A$19:$C$20</c:f>
              <c:multiLvlStrCache>
                <c:ptCount val="3"/>
                <c:lvl>
                  <c:pt idx="0">
                    <c:v>HIGH</c:v>
                  </c:pt>
                  <c:pt idx="1">
                    <c:v>MEDIUM</c:v>
                  </c:pt>
                  <c:pt idx="2">
                    <c:v>LOW</c:v>
                  </c:pt>
                </c:lvl>
                <c:lvl>
                  <c:pt idx="0">
                    <c:v>RISKS</c:v>
                  </c:pt>
                </c:lvl>
              </c:multiLvlStrCache>
            </c:multiLvlStrRef>
          </c:cat>
          <c:val>
            <c:numRef>
              <c:f>'Dashboard 6'!$A$21:$C$21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79-4D7D-B82F-4526E47C5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0945231"/>
        <c:axId val="732790143"/>
      </c:barChart>
      <c:catAx>
        <c:axId val="790945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732790143"/>
        <c:crosses val="autoZero"/>
        <c:auto val="1"/>
        <c:lblAlgn val="ctr"/>
        <c:lblOffset val="100"/>
        <c:noMultiLvlLbl val="0"/>
      </c:catAx>
      <c:valAx>
        <c:axId val="732790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790945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i-I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99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i-I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'Dashboard 6'!$F$20:$H$21</c:f>
              <c:multiLvlStrCache>
                <c:ptCount val="3"/>
                <c:lvl>
                  <c:pt idx="0">
                    <c:v>UNRESOLVED</c:v>
                  </c:pt>
                  <c:pt idx="1">
                    <c:v>REVISIONS</c:v>
                  </c:pt>
                  <c:pt idx="2">
                    <c:v>PENDING ACTIONS</c:v>
                  </c:pt>
                </c:lvl>
                <c:lvl>
                  <c:pt idx="0">
                    <c:v>ISSUES</c:v>
                  </c:pt>
                </c:lvl>
              </c:multiLvlStrCache>
            </c:multiLvlStrRef>
          </c:cat>
          <c:val>
            <c:numRef>
              <c:f>'Dashboard 6'!$F$22:$H$22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FE-4FB6-A410-C53C5CC798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37432431"/>
        <c:axId val="860001551"/>
      </c:barChart>
      <c:catAx>
        <c:axId val="63743243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860001551"/>
        <c:crosses val="autoZero"/>
        <c:auto val="1"/>
        <c:lblAlgn val="ctr"/>
        <c:lblOffset val="100"/>
        <c:noMultiLvlLbl val="0"/>
      </c:catAx>
      <c:valAx>
        <c:axId val="860001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637432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i-I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876256058707752"/>
          <c:y val="0.11887820512820514"/>
          <c:w val="0.7406824372540376"/>
          <c:h val="0.7935311932162325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'Dashboard 6'!$A$27:$D$28</c:f>
              <c:multiLvlStrCache>
                <c:ptCount val="4"/>
                <c:lvl>
                  <c:pt idx="0">
                    <c:v> QUARTER 1 </c:v>
                  </c:pt>
                  <c:pt idx="1">
                    <c:v> QUARTER 2 </c:v>
                  </c:pt>
                  <c:pt idx="2">
                    <c:v> QUARTER 3 </c:v>
                  </c:pt>
                  <c:pt idx="3">
                    <c:v> QUARTER 4 </c:v>
                  </c:pt>
                </c:lvl>
                <c:lvl>
                  <c:pt idx="0">
                    <c:v>QUARTERLY REVENUE TOTALS</c:v>
                  </c:pt>
                </c:lvl>
              </c:multiLvlStrCache>
            </c:multiLvlStrRef>
          </c:cat>
          <c:val>
            <c:numRef>
              <c:f>'Dashboard 6'!$A$29:$D$29</c:f>
              <c:numCache>
                <c:formatCode>_-[$$-409]* #,##0.00_ ;_-[$$-409]* \-#,##0.00\ ;_-[$$-409]* "-"??_ ;_-@_ </c:formatCode>
                <c:ptCount val="4"/>
                <c:pt idx="0">
                  <c:v>87000</c:v>
                </c:pt>
                <c:pt idx="1">
                  <c:v>79700</c:v>
                </c:pt>
                <c:pt idx="2">
                  <c:v>69500</c:v>
                </c:pt>
                <c:pt idx="3">
                  <c:v>72600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B3-429A-B15D-500BF31E9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0946831"/>
        <c:axId val="859919183"/>
      </c:barChart>
      <c:catAx>
        <c:axId val="790946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859919183"/>
        <c:crosses val="autoZero"/>
        <c:auto val="1"/>
        <c:lblAlgn val="ctr"/>
        <c:lblOffset val="100"/>
        <c:noMultiLvlLbl val="0"/>
      </c:catAx>
      <c:valAx>
        <c:axId val="859919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790946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hi-I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MC" sz="1600" b="1"/>
              <a:t>PROJECT/TASKS</a:t>
            </a:r>
          </a:p>
        </c:rich>
      </c:tx>
      <c:layout>
        <c:manualLayout>
          <c:xMode val="edge"/>
          <c:yMode val="edge"/>
          <c:x val="4.0876922640692169E-2"/>
          <c:y val="3.03030199737464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title>
    <c:autoTitleDeleted val="0"/>
    <c:plotArea>
      <c:layout>
        <c:manualLayout>
          <c:layoutTarget val="inner"/>
          <c:xMode val="edge"/>
          <c:yMode val="edge"/>
          <c:x val="0.20017639686931024"/>
          <c:y val="0.16792274002091984"/>
          <c:w val="0.54066401563632061"/>
          <c:h val="0.75394527254140764"/>
        </c:manualLayout>
      </c:layout>
      <c:doughnutChart>
        <c:varyColors val="1"/>
        <c:ser>
          <c:idx val="0"/>
          <c:order val="0"/>
          <c:spPr>
            <a:solidFill>
              <a:schemeClr val="accent6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15-4D66-9296-31468F675936}"/>
              </c:ext>
            </c:extLst>
          </c:dPt>
          <c:dPt>
            <c:idx val="1"/>
            <c:bubble3D val="0"/>
            <c:spPr>
              <a:solidFill>
                <a:srgbClr val="9ECB7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015-4D66-9296-31468F675936}"/>
              </c:ext>
            </c:extLst>
          </c:dPt>
          <c:dPt>
            <c:idx val="2"/>
            <c:bubble3D val="0"/>
            <c:spPr>
              <a:solidFill>
                <a:srgbClr val="3ED66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015-4D66-9296-31468F6759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i-I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'Dashboard 6'!$A$15:$C$16</c:f>
              <c:multiLvlStrCache>
                <c:ptCount val="3"/>
                <c:lvl>
                  <c:pt idx="0">
                    <c:v>NOT STARTED</c:v>
                  </c:pt>
                  <c:pt idx="1">
                    <c:v>IN PROGRESS</c:v>
                  </c:pt>
                  <c:pt idx="2">
                    <c:v>COMPLETE</c:v>
                  </c:pt>
                </c:lvl>
                <c:lvl>
                  <c:pt idx="0">
                    <c:v>PROJECTS / TASKS</c:v>
                  </c:pt>
                </c:lvl>
              </c:multiLvlStrCache>
            </c:multiLvlStrRef>
          </c:cat>
          <c:val>
            <c:numRef>
              <c:f>'Dashboard 6'!$A$17:$C$17</c:f>
              <c:numCache>
                <c:formatCode>General</c:formatCode>
                <c:ptCount val="3"/>
                <c:pt idx="0">
                  <c:v>35</c:v>
                </c:pt>
                <c:pt idx="1">
                  <c:v>55</c:v>
                </c:pt>
                <c:pt idx="2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15-4D66-9296-31468F67593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i-I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MC"/>
              <a:t>MONTHLY</a:t>
            </a:r>
            <a:r>
              <a:rPr lang="fr-MC" baseline="0"/>
              <a:t> REVENUES</a:t>
            </a:r>
            <a:endParaRPr lang="fr-M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title>
    <c:autoTitleDeleted val="0"/>
    <c:plotArea>
      <c:layout>
        <c:manualLayout>
          <c:layoutTarget val="inner"/>
          <c:xMode val="edge"/>
          <c:yMode val="edge"/>
          <c:x val="0.12211700827090519"/>
          <c:y val="0.13638328544288231"/>
          <c:w val="0.85407346345584245"/>
          <c:h val="0.6086411907317140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accent6">
                  <a:lumMod val="20000"/>
                  <a:lumOff val="80000"/>
                </a:schemeClr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solidFill>
                  <a:schemeClr val="accent6">
                    <a:lumMod val="20000"/>
                    <a:lumOff val="8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4E-4E72-AF47-A6832F1ED72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solidFill>
                  <a:schemeClr val="accent6">
                    <a:lumMod val="20000"/>
                    <a:lumOff val="8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4E-4E72-AF47-A6832F1ED72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solidFill>
                  <a:schemeClr val="accent6">
                    <a:lumMod val="20000"/>
                    <a:lumOff val="8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E4E-4E72-AF47-A6832F1ED72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chemeClr val="accent6">
                    <a:lumMod val="20000"/>
                    <a:lumOff val="8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E4E-4E72-AF47-A6832F1ED72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chemeClr val="accent6">
                    <a:lumMod val="20000"/>
                    <a:lumOff val="8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E4E-4E72-AF47-A6832F1ED72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chemeClr val="accent6">
                    <a:lumMod val="20000"/>
                    <a:lumOff val="8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E4E-4E72-AF47-A6832F1ED72E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accent6">
                    <a:lumMod val="20000"/>
                    <a:lumOff val="8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E4E-4E72-AF47-A6832F1ED72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accent6">
                    <a:lumMod val="20000"/>
                    <a:lumOff val="8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E4E-4E72-AF47-A6832F1ED72E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accent6">
                    <a:lumMod val="20000"/>
                    <a:lumOff val="8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E4E-4E72-AF47-A6832F1ED72E}"/>
              </c:ext>
            </c:extLst>
          </c:dPt>
          <c:cat>
            <c:multiLvlStrRef>
              <c:f>'Dashboard 6'!$A$23:$L$24</c:f>
              <c:multiLvlStrCache>
                <c:ptCount val="12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</c:lvl>
                <c:lvl>
                  <c:pt idx="0">
                    <c:v>MONTHLY REVENUE TOTALS</c:v>
                  </c:pt>
                </c:lvl>
              </c:multiLvlStrCache>
            </c:multiLvlStrRef>
          </c:cat>
          <c:val>
            <c:numRef>
              <c:f>'Dashboard 6'!$A$25:$L$25</c:f>
              <c:numCache>
                <c:formatCode>#,##0.00</c:formatCode>
                <c:ptCount val="12"/>
                <c:pt idx="0">
                  <c:v>25000</c:v>
                </c:pt>
                <c:pt idx="1">
                  <c:v>32000</c:v>
                </c:pt>
                <c:pt idx="2">
                  <c:v>30000</c:v>
                </c:pt>
                <c:pt idx="3">
                  <c:v>21000</c:v>
                </c:pt>
                <c:pt idx="4">
                  <c:v>26500</c:v>
                </c:pt>
                <c:pt idx="5">
                  <c:v>32200</c:v>
                </c:pt>
                <c:pt idx="6">
                  <c:v>25000</c:v>
                </c:pt>
                <c:pt idx="7">
                  <c:v>23500</c:v>
                </c:pt>
                <c:pt idx="8">
                  <c:v>21000</c:v>
                </c:pt>
                <c:pt idx="9">
                  <c:v>25000</c:v>
                </c:pt>
                <c:pt idx="10">
                  <c:v>24200</c:v>
                </c:pt>
                <c:pt idx="11">
                  <c:v>23400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E4E-4E72-AF47-A6832F1ED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6141583"/>
        <c:axId val="860135503"/>
      </c:barChart>
      <c:catAx>
        <c:axId val="69614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860135503"/>
        <c:crosses val="autoZero"/>
        <c:auto val="1"/>
        <c:lblAlgn val="ctr"/>
        <c:lblOffset val="100"/>
        <c:noMultiLvlLbl val="0"/>
      </c:catAx>
      <c:valAx>
        <c:axId val="86013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696141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hi-I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7</xdr:row>
      <xdr:rowOff>38100</xdr:rowOff>
    </xdr:from>
    <xdr:to>
      <xdr:col>3</xdr:col>
      <xdr:colOff>114300</xdr:colOff>
      <xdr:row>12</xdr:row>
      <xdr:rowOff>838200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7C2BC6-C5E0-485A-8CF2-E7EA892620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581025</xdr:colOff>
      <xdr:row>7</xdr:row>
      <xdr:rowOff>66675</xdr:rowOff>
    </xdr:from>
    <xdr:to>
      <xdr:col>6</xdr:col>
      <xdr:colOff>876300</xdr:colOff>
      <xdr:row>10</xdr:row>
      <xdr:rowOff>266700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3EF9BE-05BC-4093-B535-878613C703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590551</xdr:colOff>
      <xdr:row>10</xdr:row>
      <xdr:rowOff>404810</xdr:rowOff>
    </xdr:from>
    <xdr:to>
      <xdr:col>6</xdr:col>
      <xdr:colOff>885825</xdr:colOff>
      <xdr:row>12</xdr:row>
      <xdr:rowOff>819149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952B72-0FB1-4EB2-8C7B-E9B9D38231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195263</xdr:colOff>
      <xdr:row>7</xdr:row>
      <xdr:rowOff>19051</xdr:rowOff>
    </xdr:from>
    <xdr:to>
      <xdr:col>11</xdr:col>
      <xdr:colOff>457201</xdr:colOff>
      <xdr:row>12</xdr:row>
      <xdr:rowOff>733425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0A418F2-C806-4066-AEC2-1BF24AB431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523875</xdr:colOff>
      <xdr:row>1</xdr:row>
      <xdr:rowOff>923924</xdr:rowOff>
    </xdr:from>
    <xdr:to>
      <xdr:col>6</xdr:col>
      <xdr:colOff>923925</xdr:colOff>
      <xdr:row>6</xdr:row>
      <xdr:rowOff>485775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F3ABF6F-92E5-45C1-ADB3-8E1D59EE5A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171450</xdr:colOff>
      <xdr:row>1</xdr:row>
      <xdr:rowOff>80962</xdr:rowOff>
    </xdr:from>
    <xdr:to>
      <xdr:col>11</xdr:col>
      <xdr:colOff>400049</xdr:colOff>
      <xdr:row>6</xdr:row>
      <xdr:rowOff>400050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EBC22AE-6AC5-4FA6-BDDD-526B76C945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219075</xdr:colOff>
      <xdr:row>1</xdr:row>
      <xdr:rowOff>28575</xdr:rowOff>
    </xdr:from>
    <xdr:to>
      <xdr:col>3</xdr:col>
      <xdr:colOff>228600</xdr:colOff>
      <xdr:row>6</xdr:row>
      <xdr:rowOff>457200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2FE519F-2920-4628-BC9E-6D5C05B256A5}"/>
            </a:ext>
          </a:extLst>
        </xdr:cNvPr>
        <xdr:cNvCxnSpPr/>
      </xdr:nvCxnSpPr>
      <xdr:spPr>
        <a:xfrm>
          <a:off x="2047875" y="219075"/>
          <a:ext cx="9525" cy="11144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1133475</xdr:colOff>
      <xdr:row>1</xdr:row>
      <xdr:rowOff>28575</xdr:rowOff>
    </xdr:from>
    <xdr:to>
      <xdr:col>6</xdr:col>
      <xdr:colOff>1162050</xdr:colOff>
      <xdr:row>6</xdr:row>
      <xdr:rowOff>581025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EB79B415-BAAE-41D2-81EB-8A1E57B45F6F}"/>
            </a:ext>
          </a:extLst>
        </xdr:cNvPr>
        <xdr:cNvCxnSpPr/>
      </xdr:nvCxnSpPr>
      <xdr:spPr>
        <a:xfrm>
          <a:off x="4267200" y="219075"/>
          <a:ext cx="0" cy="11144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304800</xdr:colOff>
      <xdr:row>7</xdr:row>
      <xdr:rowOff>247650</xdr:rowOff>
    </xdr:from>
    <xdr:to>
      <xdr:col>3</xdr:col>
      <xdr:colOff>304801</xdr:colOff>
      <xdr:row>12</xdr:row>
      <xdr:rowOff>781050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9C246BF1-26C7-4168-8C87-3E6DD0B50ADE}"/>
            </a:ext>
          </a:extLst>
        </xdr:cNvPr>
        <xdr:cNvCxnSpPr/>
      </xdr:nvCxnSpPr>
      <xdr:spPr>
        <a:xfrm flipH="1">
          <a:off x="2133600" y="1524000"/>
          <a:ext cx="1" cy="95250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1162050</xdr:colOff>
      <xdr:row>7</xdr:row>
      <xdr:rowOff>114300</xdr:rowOff>
    </xdr:from>
    <xdr:to>
      <xdr:col>6</xdr:col>
      <xdr:colOff>1171575</xdr:colOff>
      <xdr:row>12</xdr:row>
      <xdr:rowOff>657225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B72A954E-DB7F-49CE-9BBE-308A4D93E28A}"/>
            </a:ext>
          </a:extLst>
        </xdr:cNvPr>
        <xdr:cNvCxnSpPr/>
      </xdr:nvCxnSpPr>
      <xdr:spPr>
        <a:xfrm>
          <a:off x="4267200" y="1447800"/>
          <a:ext cx="0" cy="102870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F0769-EBBC-4B21-9F67-9332B71522F6}">
  <dimension ref="A1:L29"/>
  <sheetViews>
    <sheetView showGridLines="0" tabSelected="1" zoomScaleNormal="100" workbookViewId="0">
      <selection activeCell="D10" sqref="D10"/>
    </sheetView>
  </sheetViews>
  <sheetFormatPr defaultRowHeight="15" x14ac:dyDescent="0.25"/>
  <cols>
    <col min="1" max="1" width="32.7109375" customWidth="1"/>
    <col min="2" max="2" width="19.140625" customWidth="1"/>
    <col min="3" max="3" width="20" bestFit="1" customWidth="1"/>
    <col min="4" max="12" width="19.140625" customWidth="1"/>
  </cols>
  <sheetData>
    <row r="1" spans="1:8" ht="42" customHeight="1" x14ac:dyDescent="1">
      <c r="A1" s="47" t="s">
        <v>42</v>
      </c>
    </row>
    <row r="2" spans="1:8" ht="12.75" customHeight="1" x14ac:dyDescent="0.25">
      <c r="B2" s="46"/>
      <c r="C2" s="46"/>
    </row>
    <row r="3" spans="1:8" ht="51.75" customHeight="1" x14ac:dyDescent="0.25">
      <c r="A3" s="45" t="s">
        <v>41</v>
      </c>
    </row>
    <row r="4" spans="1:8" ht="60" customHeight="1" x14ac:dyDescent="0.25">
      <c r="A4" s="44" t="s">
        <v>40</v>
      </c>
      <c r="B4" s="43">
        <v>0.45</v>
      </c>
      <c r="C4" s="42" t="s">
        <v>39</v>
      </c>
    </row>
    <row r="5" spans="1:8" ht="51.75" customHeight="1" x14ac:dyDescent="0.25">
      <c r="A5" s="41" t="s">
        <v>38</v>
      </c>
      <c r="B5" s="40">
        <v>0.3</v>
      </c>
      <c r="C5" s="39" t="s">
        <v>37</v>
      </c>
    </row>
    <row r="6" spans="1:8" ht="38.25" x14ac:dyDescent="0.25">
      <c r="A6" s="38" t="s">
        <v>36</v>
      </c>
      <c r="B6" s="37">
        <v>0.26</v>
      </c>
      <c r="C6" s="36" t="s">
        <v>35</v>
      </c>
    </row>
    <row r="7" spans="1:8" ht="54.75" customHeight="1" x14ac:dyDescent="0.25"/>
    <row r="8" spans="1:8" ht="57" customHeight="1" x14ac:dyDescent="0.25"/>
    <row r="9" spans="1:8" ht="45" customHeight="1" x14ac:dyDescent="0.25"/>
    <row r="10" spans="1:8" ht="55.5" customHeight="1" x14ac:dyDescent="0.25"/>
    <row r="11" spans="1:8" ht="48.75" customHeight="1" x14ac:dyDescent="0.25"/>
    <row r="12" spans="1:8" ht="86.25" customHeight="1" x14ac:dyDescent="0.25"/>
    <row r="13" spans="1:8" ht="79.5" customHeight="1" thickBot="1" x14ac:dyDescent="0.3"/>
    <row r="14" spans="1:8" ht="28.5" x14ac:dyDescent="0.25">
      <c r="A14" s="35" t="s">
        <v>34</v>
      </c>
      <c r="B14" s="34"/>
      <c r="C14" s="34"/>
    </row>
    <row r="15" spans="1:8" ht="18.75" thickBot="1" x14ac:dyDescent="0.3">
      <c r="A15" s="33" t="s">
        <v>33</v>
      </c>
      <c r="B15" s="19"/>
      <c r="C15" s="19"/>
      <c r="F15" s="33" t="s">
        <v>32</v>
      </c>
      <c r="G15" s="19"/>
      <c r="H15" s="19"/>
    </row>
    <row r="16" spans="1:8" x14ac:dyDescent="0.25">
      <c r="A16" s="32" t="s">
        <v>31</v>
      </c>
      <c r="B16" s="31" t="s">
        <v>30</v>
      </c>
      <c r="C16" s="30" t="s">
        <v>29</v>
      </c>
      <c r="F16" s="29" t="s">
        <v>28</v>
      </c>
      <c r="G16" s="28" t="s">
        <v>27</v>
      </c>
      <c r="H16" s="27" t="s">
        <v>26</v>
      </c>
    </row>
    <row r="17" spans="1:12" x14ac:dyDescent="0.25">
      <c r="A17" s="26">
        <v>35</v>
      </c>
      <c r="B17" s="26">
        <v>55</v>
      </c>
      <c r="C17" s="26">
        <v>62</v>
      </c>
      <c r="F17" s="25">
        <v>250000</v>
      </c>
      <c r="G17" s="25">
        <v>185000</v>
      </c>
      <c r="H17" s="25">
        <v>65000</v>
      </c>
    </row>
    <row r="18" spans="1:12" ht="17.25" x14ac:dyDescent="0.3">
      <c r="A18" s="6"/>
      <c r="B18" s="6"/>
      <c r="C18" s="6"/>
    </row>
    <row r="19" spans="1:12" ht="18.75" thickBot="1" x14ac:dyDescent="0.3">
      <c r="A19" s="19" t="s">
        <v>25</v>
      </c>
      <c r="B19" s="19"/>
      <c r="C19" s="19"/>
      <c r="F19" s="24"/>
    </row>
    <row r="20" spans="1:12" ht="18.75" thickBot="1" x14ac:dyDescent="0.35">
      <c r="A20" s="23" t="s">
        <v>24</v>
      </c>
      <c r="B20" s="22" t="s">
        <v>23</v>
      </c>
      <c r="C20" s="21" t="s">
        <v>22</v>
      </c>
      <c r="F20" s="20" t="s">
        <v>21</v>
      </c>
      <c r="G20" s="19"/>
      <c r="H20" s="18"/>
    </row>
    <row r="21" spans="1:12" x14ac:dyDescent="0.25">
      <c r="A21" s="14">
        <v>1</v>
      </c>
      <c r="B21" s="14">
        <v>2</v>
      </c>
      <c r="C21" s="14">
        <v>3</v>
      </c>
      <c r="F21" s="17" t="s">
        <v>20</v>
      </c>
      <c r="G21" s="16" t="s">
        <v>19</v>
      </c>
      <c r="H21" s="15" t="s">
        <v>18</v>
      </c>
    </row>
    <row r="22" spans="1:12" x14ac:dyDescent="0.25">
      <c r="F22" s="14">
        <v>1</v>
      </c>
      <c r="G22" s="14">
        <v>2</v>
      </c>
      <c r="H22" s="14">
        <v>3</v>
      </c>
    </row>
    <row r="23" spans="1:12" ht="18" x14ac:dyDescent="0.3">
      <c r="A23" s="8" t="s">
        <v>17</v>
      </c>
      <c r="B23" s="8"/>
      <c r="C23" s="7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13" t="s">
        <v>16</v>
      </c>
      <c r="B24" s="13" t="s">
        <v>15</v>
      </c>
      <c r="C24" s="13" t="s">
        <v>14</v>
      </c>
      <c r="D24" s="12" t="s">
        <v>13</v>
      </c>
      <c r="E24" s="12" t="s">
        <v>12</v>
      </c>
      <c r="F24" s="12" t="s">
        <v>11</v>
      </c>
      <c r="G24" s="11" t="s">
        <v>10</v>
      </c>
      <c r="H24" s="11" t="s">
        <v>9</v>
      </c>
      <c r="I24" s="11" t="s">
        <v>8</v>
      </c>
      <c r="J24" s="10" t="s">
        <v>7</v>
      </c>
      <c r="K24" s="10" t="s">
        <v>6</v>
      </c>
      <c r="L24" s="10" t="s">
        <v>5</v>
      </c>
    </row>
    <row r="25" spans="1:12" ht="17.25" x14ac:dyDescent="0.25">
      <c r="A25" s="9">
        <v>25000</v>
      </c>
      <c r="B25" s="9">
        <v>32000</v>
      </c>
      <c r="C25" s="9">
        <v>30000</v>
      </c>
      <c r="D25" s="9">
        <v>21000</v>
      </c>
      <c r="E25" s="9">
        <v>26500</v>
      </c>
      <c r="F25" s="9">
        <v>32200</v>
      </c>
      <c r="G25" s="9">
        <v>25000</v>
      </c>
      <c r="H25" s="9">
        <v>23500</v>
      </c>
      <c r="I25" s="9">
        <v>21000</v>
      </c>
      <c r="J25" s="9">
        <v>25000</v>
      </c>
      <c r="K25" s="9">
        <v>24200</v>
      </c>
      <c r="L25" s="9">
        <v>23400</v>
      </c>
    </row>
    <row r="27" spans="1:12" ht="18" x14ac:dyDescent="0.3">
      <c r="A27" s="8" t="s">
        <v>4</v>
      </c>
      <c r="B27" s="8"/>
      <c r="C27" s="7"/>
      <c r="D27" s="6"/>
    </row>
    <row r="28" spans="1:12" x14ac:dyDescent="0.25">
      <c r="A28" s="5" t="s">
        <v>3</v>
      </c>
      <c r="B28" s="4" t="s">
        <v>2</v>
      </c>
      <c r="C28" s="3" t="s">
        <v>1</v>
      </c>
      <c r="D28" s="2" t="s">
        <v>0</v>
      </c>
    </row>
    <row r="29" spans="1:12" ht="15.75" x14ac:dyDescent="0.25">
      <c r="A29" s="1">
        <f>SUM(A25:C25)</f>
        <v>87000</v>
      </c>
      <c r="B29" s="1">
        <f>SUM(D25:F25)</f>
        <v>79700</v>
      </c>
      <c r="C29" s="1">
        <f>SUM(G25:I25)</f>
        <v>69500</v>
      </c>
      <c r="D29" s="1">
        <f>SUM(J25:L25)</f>
        <v>72600</v>
      </c>
    </row>
  </sheetData>
  <mergeCells count="2">
    <mergeCell ref="A23:B23"/>
    <mergeCell ref="A27:B2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6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SITHPC-11</dc:creator>
  <cp:lastModifiedBy>SITHPC-11</cp:lastModifiedBy>
  <dcterms:created xsi:type="dcterms:W3CDTF">2026-03-09T08:06:58Z</dcterms:created>
  <dcterms:modified xsi:type="dcterms:W3CDTF">2026-03-09T08:07:54Z</dcterms:modified>
</cp:coreProperties>
</file>